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Dashboard" sheetId="1" r:id="rId5"/>
    <sheet state="visible" name="Comparison Data" sheetId="2" r:id="rId6"/>
    <sheet state="visible" name="Glossary &amp; Specs" sheetId="3" r:id="rId7"/>
  </sheets>
  <definedNames/>
  <calcPr/>
</workbook>
</file>

<file path=xl/sharedStrings.xml><?xml version="1.0" encoding="utf-8"?>
<sst xmlns="http://schemas.openxmlformats.org/spreadsheetml/2006/main" count="45" uniqueCount="44">
  <si>
    <t>CALLINGBOT COST ANALYSIS &amp; CALCULATOR</t>
  </si>
  <si>
    <t>Expected Monthly Minutes</t>
  </si>
  <si>
    <t>(Change this value to see real-time cost impact)</t>
  </si>
  <si>
    <t>Number of Virtual Lines</t>
  </si>
  <si>
    <t>Platform Name</t>
  </si>
  <si>
    <t>Monthly Rental (Fixed)</t>
  </si>
  <si>
    <t>Calling Cost (Variable)</t>
  </si>
  <si>
    <t>Total Monthly Est. (INR)</t>
  </si>
  <si>
    <r>
      <rPr>
        <rFont val="Arial"/>
        <b/>
        <color theme="1"/>
        <sz val="13.0"/>
      </rPr>
      <t>Research Insight:</t>
    </r>
    <r>
      <rPr>
        <rFont val="Arial"/>
        <color theme="1"/>
      </rPr>
      <t xml:space="preserve"> Moving from a standard Cloud API (Twilio) to Wholesale SIP providers (SignalWire/Telnyx) reduces operational costs by over 70%. For Indian domestic operations, Exotel is the recommended choice to mitigate USD-INR currency fluctuation risks and utilize local carrier routing.</t>
    </r>
  </si>
  <si>
    <t>Platform</t>
  </si>
  <si>
    <t>Type</t>
  </si>
  <si>
    <t>Outbound (INR)</t>
  </si>
  <si>
    <t>Inbound (INR)</t>
  </si>
  <si>
    <t>Monthly Rental</t>
  </si>
  <si>
    <t>Key Advantage</t>
  </si>
  <si>
    <t>Twilio</t>
  </si>
  <si>
    <t>Cloud API</t>
  </si>
  <si>
    <t>Reliability / Documentation</t>
  </si>
  <si>
    <t>SignalWire</t>
  </si>
  <si>
    <t>Wholesale</t>
  </si>
  <si>
    <t>Maximum Savings</t>
  </si>
  <si>
    <t>Plivo</t>
  </si>
  <si>
    <t>Twilio Alternative</t>
  </si>
  <si>
    <t>Exotel</t>
  </si>
  <si>
    <t>Indian API</t>
  </si>
  <si>
    <t>Local Indian Context</t>
  </si>
  <si>
    <t>Telnyx</t>
  </si>
  <si>
    <t>Carrier SIP</t>
  </si>
  <si>
    <t>High Volume Outbound</t>
  </si>
  <si>
    <t>Asterisk</t>
  </si>
  <si>
    <t>Open Source</t>
  </si>
  <si>
    <t>Self-Hosted Infra</t>
  </si>
  <si>
    <t>Term</t>
  </si>
  <si>
    <t>Definition</t>
  </si>
  <si>
    <t>SIP Trunking</t>
  </si>
  <si>
    <t>A digital version of a phone line. It is much cheaper than APIs because it connects directly to carriers.</t>
  </si>
  <si>
    <t>PSTN</t>
  </si>
  <si>
    <t>Public Switched Telephone Network. The traditional "copper wire" phone system used by mobile and landlines.</t>
  </si>
  <si>
    <t>API Calling</t>
  </si>
  <si>
    <t>A developer-friendly way to make calls (like Twilio). It is easy to use but usually has a 30-50% price markup.</t>
  </si>
  <si>
    <t>Wholesale Provider</t>
  </si>
  <si>
    <t>Platforms like SignalWire/Telnyx that sell minutes at raw cost. Ideal for high-volume bots.</t>
  </si>
  <si>
    <t>Webhook</t>
  </si>
  <si>
    <t>The communication bridge that allows Twilio to send the user's voice response to our Python server.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</si>
</sst>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3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color theme="1"/>
      <name val="Arial"/>
      <scheme val="minor"/>
    </font>
    <font>
      <color rgb="FFFCFCFC"/>
      <name val="&quot;DM Mono&quot;"/>
    </font>
    <font>
      <i/>
      <sz val="11.0"/>
      <color rgb="FFE2E2E5"/>
      <name val="Inter"/>
    </font>
    <font>
      <b/>
      <color rgb="FF000000"/>
      <name val="&quot;DM Mono&quot;"/>
    </font>
    <font>
      <b/>
      <color theme="1"/>
      <name val="Arial"/>
      <scheme val="minor"/>
    </font>
    <font>
      <color rgb="FF000000"/>
      <name val="&quot;DM Mono&quot;"/>
    </font>
    <font>
      <b/>
      <color rgb="FFFFFFFF"/>
      <name val="&quot;DM Mono&quot;"/>
    </font>
    <font>
      <b/>
      <color rgb="FFFFFFFF"/>
      <name val="Arial"/>
      <scheme val="minor"/>
    </font>
    <font>
      <color rgb="FF000000"/>
      <name val="Arial"/>
      <scheme val="minor"/>
    </font>
    <font>
      <sz val="11.0"/>
      <color rgb="FF000000"/>
      <name val="Inter"/>
    </font>
    <font>
      <b/>
      <sz val="11.0"/>
      <color rgb="FF000000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23232"/>
        <bgColor rgb="FF323232"/>
      </patternFill>
    </fill>
    <fill>
      <patternFill patternType="solid">
        <fgColor rgb="FFFFD966"/>
        <bgColor rgb="FFFFD966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readingOrder="0" shrinkToFit="0" wrapText="1"/>
    </xf>
    <xf borderId="0" fillId="3" fontId="3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Font="1"/>
    <xf borderId="0" fillId="7" fontId="7" numFmtId="0" xfId="0" applyAlignment="1" applyFill="1" applyFont="1">
      <alignment horizontal="center"/>
    </xf>
    <xf borderId="0" fillId="7" fontId="7" numFmtId="164" xfId="0" applyAlignment="1" applyFont="1" applyNumberFormat="1">
      <alignment horizontal="center"/>
    </xf>
    <xf borderId="0" fillId="8" fontId="2" numFmtId="0" xfId="0" applyAlignment="1" applyFill="1" applyFont="1">
      <alignment horizontal="left" readingOrder="0" shrinkToFit="0" vertical="center" wrapText="1"/>
    </xf>
    <xf borderId="0" fillId="9" fontId="8" numFmtId="0" xfId="0" applyAlignment="1" applyFill="1" applyFont="1">
      <alignment horizontal="center" readingOrder="0"/>
    </xf>
    <xf borderId="0" fillId="9" fontId="9" numFmtId="0" xfId="0" applyFont="1"/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7" fontId="11" numFmtId="0" xfId="0" applyAlignment="1" applyFont="1">
      <alignment horizontal="center" readingOrder="0"/>
    </xf>
    <xf borderId="0" fillId="7" fontId="2" numFmtId="0" xfId="0" applyFont="1"/>
    <xf borderId="0" fillId="7" fontId="12" numFmtId="0" xfId="0" applyAlignment="1" applyFont="1">
      <alignment horizontal="center" readingOrder="0"/>
    </xf>
    <xf borderId="0" fillId="7" fontId="11" numFmtId="0" xfId="0" applyAlignment="1" applyFont="1">
      <alignment horizontal="left"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5">
    <tableStyle count="2" pivot="0" name="Executive Dashboard-style">
      <tableStyleElement dxfId="1" type="firstRowStripe"/>
      <tableStyleElement dxfId="2" type="secondRowStripe"/>
    </tableStyle>
    <tableStyle count="2" pivot="0" name="Comparison Data-style">
      <tableStyleElement dxfId="1" type="firstRowStripe"/>
      <tableStyleElement dxfId="3" type="secondRowStripe"/>
    </tableStyle>
    <tableStyle count="3" pivot="0" name="Comparison Data-style 2">
      <tableStyleElement dxfId="4" type="headerRow"/>
      <tableStyleElement dxfId="1" type="firstRowStripe"/>
      <tableStyleElement dxfId="5" type="secondRowStripe"/>
    </tableStyle>
    <tableStyle count="3" pivot="0" name="Comparison Data-style 3">
      <tableStyleElement dxfId="6" type="headerRow"/>
      <tableStyleElement dxfId="1" type="firstRowStripe"/>
      <tableStyleElement dxfId="7" type="secondRowStripe"/>
    </tableStyle>
    <tableStyle count="3" pivot="0" name="Glossary &amp; Specs-style">
      <tableStyleElement dxfId="8" type="headerRow"/>
      <tableStyleElement dxfId="1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Monthly Cost Comparison: Twilio vs. Alternatives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'Executive Dashboard'!$A$7:$A$12</c:f>
            </c:strRef>
          </c:cat>
          <c:val>
            <c:numRef>
              <c:f>'Executive Dashboard'!$D$7:$D$12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'Executive Dashboard'!$A$7:$A$12</c:f>
            </c:strRef>
          </c:cat>
          <c:val>
            <c:numRef>
              <c:f>'Executive Dashboard'!$D$7:$D$12</c:f>
              <c:numCache/>
            </c:numRef>
          </c:val>
        </c:ser>
        <c:axId val="2050713836"/>
        <c:axId val="1857456685"/>
      </c:barChart>
      <c:catAx>
        <c:axId val="2050713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Telephony Platforms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456685"/>
      </c:catAx>
      <c:valAx>
        <c:axId val="1857456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Cost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713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1</xdr:row>
      <xdr:rowOff>142875</xdr:rowOff>
    </xdr:from>
    <xdr:ext cx="3829050" cy="2486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D1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Executive 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7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mparison Data-style" showColumnStripes="0" showFirstColumn="1" showLastColumn="1" showRowStripes="1"/>
</table>
</file>

<file path=xl/tables/table3.xml><?xml version="1.0" encoding="utf-8"?>
<table xmlns="http://schemas.openxmlformats.org/spreadsheetml/2006/main" headerRowCount="0" ref="G12" displayName="Table_3" name="Table_3" id="3">
  <tableColumns count="1">
    <tableColumn name="Column1" id="1"/>
  </tableColumns>
  <tableStyleInfo name="Comparison Da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G14" displayName="Table_4" name="Table_4" id="4">
  <tableColumns count="1">
    <tableColumn name="Column1" id="1"/>
  </tableColumns>
  <tableStyleInfo name="Comparison Dat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B6" displayName="Table_5" name="Table_5" id="5">
  <tableColumns count="2">
    <tableColumn name="Term" id="1"/>
    <tableColumn name="Definition" id="2"/>
  </tableColumns>
  <tableStyleInfo name="Glossary &amp; Spe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5"/>
    <col customWidth="1" min="2" max="2" width="23.0"/>
    <col customWidth="1" min="3" max="3" width="31.0"/>
    <col customWidth="1" min="4" max="4" width="25.0"/>
    <col customWidth="1" min="5" max="5" width="53.0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</row>
    <row r="3">
      <c r="A3" s="3" t="s">
        <v>1</v>
      </c>
      <c r="B3" s="4">
        <v>1000.0</v>
      </c>
      <c r="C3" s="5" t="s">
        <v>2</v>
      </c>
      <c r="D3" s="2"/>
      <c r="E3" s="2"/>
    </row>
    <row r="4">
      <c r="A4" s="6" t="s">
        <v>3</v>
      </c>
      <c r="B4" s="7">
        <v>1.0</v>
      </c>
      <c r="C4" s="2"/>
      <c r="D4" s="2"/>
      <c r="E4" s="2"/>
    </row>
    <row r="5">
      <c r="A5" s="2"/>
      <c r="B5" s="2"/>
      <c r="C5" s="2"/>
      <c r="D5" s="2"/>
      <c r="E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tr">
        <f>'Comparison Data'!A2</f>
        <v>Twilio</v>
      </c>
      <c r="B7" s="12">
        <f>$B$4 * 'Comparison Data'!E2</f>
        <v>120</v>
      </c>
      <c r="C7" s="12">
        <f>$B$3 * 'Comparison Data'!C2</f>
        <v>2200</v>
      </c>
      <c r="D7" s="12">
        <f t="shared" ref="D7:D12" si="1">B7 + C7</f>
        <v>2320</v>
      </c>
      <c r="E7" s="2"/>
    </row>
    <row r="8">
      <c r="A8" s="11" t="str">
        <f>'Comparison Data'!A3</f>
        <v>SignalWire</v>
      </c>
      <c r="B8" s="12">
        <f>$B$4 * 'Comparison Data'!E3</f>
        <v>7</v>
      </c>
      <c r="C8" s="12">
        <f>$B$3 * 'Comparison Data'!C3</f>
        <v>500</v>
      </c>
      <c r="D8" s="12">
        <f t="shared" si="1"/>
        <v>507</v>
      </c>
      <c r="E8" s="2"/>
    </row>
    <row r="9">
      <c r="A9" s="11" t="str">
        <f>'Comparison Data'!A4</f>
        <v>Plivo</v>
      </c>
      <c r="B9" s="12">
        <f>$B$4 * 'Comparison Data'!E4</f>
        <v>65</v>
      </c>
      <c r="C9" s="12">
        <f>$B$3 * 'Comparison Data'!C4</f>
        <v>1500</v>
      </c>
      <c r="D9" s="12">
        <f t="shared" si="1"/>
        <v>1565</v>
      </c>
      <c r="E9" s="2"/>
    </row>
    <row r="10">
      <c r="A10" s="11" t="str">
        <f>'Comparison Data'!A5</f>
        <v>Exotel</v>
      </c>
      <c r="B10" s="12">
        <f>$B$4 * 'Comparison Data'!E5</f>
        <v>750</v>
      </c>
      <c r="C10" s="12">
        <f>$B$3 * 'Comparison Data'!C5</f>
        <v>600</v>
      </c>
      <c r="D10" s="12">
        <f t="shared" si="1"/>
        <v>1350</v>
      </c>
      <c r="E10" s="2"/>
    </row>
    <row r="11">
      <c r="A11" s="11" t="str">
        <f>'Comparison Data'!A6</f>
        <v>Telnyx</v>
      </c>
      <c r="B11" s="12">
        <f>$B$4 * 'Comparison Data'!E6</f>
        <v>85</v>
      </c>
      <c r="C11" s="12">
        <f>$B$3 * 'Comparison Data'!C6</f>
        <v>1000</v>
      </c>
      <c r="D11" s="12">
        <f t="shared" si="1"/>
        <v>1085</v>
      </c>
      <c r="E11" s="2"/>
    </row>
    <row r="12">
      <c r="A12" s="11" t="str">
        <f>'Comparison Data'!A7</f>
        <v>Asterisk</v>
      </c>
      <c r="B12" s="12">
        <f>$B$4 * 'Comparison Data'!E7</f>
        <v>0</v>
      </c>
      <c r="C12" s="12">
        <f>$B$3 * 'Comparison Data'!C7</f>
        <v>0</v>
      </c>
      <c r="D12" s="12">
        <f t="shared" si="1"/>
        <v>0</v>
      </c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13" t="s">
        <v>8</v>
      </c>
    </row>
  </sheetData>
  <mergeCells count="2">
    <mergeCell ref="A1:E1"/>
    <mergeCell ref="A15:E1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0"/>
    <col customWidth="1" min="4" max="4" width="14.0"/>
    <col customWidth="1" min="5" max="5" width="15.0"/>
    <col customWidth="1" min="6" max="6" width="27.13"/>
  </cols>
  <sheetData>
    <row r="1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15</v>
      </c>
      <c r="B2" s="16" t="s">
        <v>16</v>
      </c>
      <c r="C2" s="17">
        <v>2.2</v>
      </c>
      <c r="D2" s="17">
        <v>0.85</v>
      </c>
      <c r="E2" s="17">
        <v>120.0</v>
      </c>
      <c r="F2" s="18" t="s">
        <v>17</v>
      </c>
    </row>
    <row r="3">
      <c r="A3" s="18" t="s">
        <v>18</v>
      </c>
      <c r="B3" s="18" t="s">
        <v>19</v>
      </c>
      <c r="C3" s="17">
        <v>0.5</v>
      </c>
      <c r="D3" s="17">
        <v>0.25</v>
      </c>
      <c r="E3" s="17">
        <v>7.0</v>
      </c>
      <c r="F3" s="18" t="s">
        <v>20</v>
      </c>
    </row>
    <row r="4">
      <c r="A4" s="18" t="s">
        <v>21</v>
      </c>
      <c r="B4" s="18" t="s">
        <v>16</v>
      </c>
      <c r="C4" s="17">
        <v>1.5</v>
      </c>
      <c r="D4" s="17">
        <v>0.45</v>
      </c>
      <c r="E4" s="17">
        <v>65.0</v>
      </c>
      <c r="F4" s="18" t="s">
        <v>22</v>
      </c>
    </row>
    <row r="5">
      <c r="A5" s="18" t="s">
        <v>23</v>
      </c>
      <c r="B5" s="18" t="s">
        <v>24</v>
      </c>
      <c r="C5" s="17">
        <v>0.6</v>
      </c>
      <c r="D5" s="17">
        <v>0.0</v>
      </c>
      <c r="E5" s="17">
        <v>750.0</v>
      </c>
      <c r="F5" s="18" t="s">
        <v>25</v>
      </c>
    </row>
    <row r="6">
      <c r="A6" s="18" t="s">
        <v>26</v>
      </c>
      <c r="B6" s="18" t="s">
        <v>27</v>
      </c>
      <c r="C6" s="17">
        <v>1.0</v>
      </c>
      <c r="D6" s="17">
        <v>0.15</v>
      </c>
      <c r="E6" s="17">
        <v>85.0</v>
      </c>
      <c r="F6" s="18" t="s">
        <v>28</v>
      </c>
    </row>
    <row r="7">
      <c r="A7" s="18" t="s">
        <v>29</v>
      </c>
      <c r="B7" s="18" t="s">
        <v>30</v>
      </c>
      <c r="C7" s="17">
        <v>0.0</v>
      </c>
      <c r="D7" s="17">
        <v>0.0</v>
      </c>
      <c r="E7" s="17">
        <v>0.0</v>
      </c>
      <c r="F7" s="18" t="s">
        <v>31</v>
      </c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  <c r="G12" s="19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  <c r="G14" s="19"/>
    </row>
    <row r="15">
      <c r="A15" s="2"/>
      <c r="B15" s="2"/>
      <c r="C15" s="2"/>
      <c r="D15" s="2"/>
      <c r="E15" s="2"/>
      <c r="F15" s="2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97.13"/>
  </cols>
  <sheetData>
    <row r="1">
      <c r="A1" s="20" t="s">
        <v>32</v>
      </c>
      <c r="B1" s="20" t="s">
        <v>33</v>
      </c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0" t="s">
        <v>34</v>
      </c>
      <c r="B2" s="21" t="s">
        <v>35</v>
      </c>
      <c r="C2" s="2"/>
    </row>
    <row r="3">
      <c r="A3" s="20" t="s">
        <v>36</v>
      </c>
      <c r="B3" s="21" t="s">
        <v>37</v>
      </c>
      <c r="C3" s="2"/>
    </row>
    <row r="4">
      <c r="A4" s="20" t="s">
        <v>38</v>
      </c>
      <c r="B4" s="21" t="s">
        <v>39</v>
      </c>
      <c r="C4" s="2"/>
    </row>
    <row r="5">
      <c r="A5" s="20" t="s">
        <v>40</v>
      </c>
      <c r="B5" s="21" t="s">
        <v>41</v>
      </c>
      <c r="C5" s="2"/>
    </row>
    <row r="6">
      <c r="A6" s="20" t="s">
        <v>42</v>
      </c>
      <c r="B6" s="21" t="s">
        <v>43</v>
      </c>
      <c r="C6" s="2"/>
    </row>
    <row r="7">
      <c r="A7" s="9"/>
      <c r="B7" s="2"/>
      <c r="C7" s="2"/>
    </row>
    <row r="8">
      <c r="A8" s="9"/>
      <c r="B8" s="2"/>
      <c r="C8" s="2"/>
    </row>
    <row r="9">
      <c r="A9" s="9"/>
      <c r="B9" s="2"/>
      <c r="C9" s="2"/>
    </row>
    <row r="10">
      <c r="A10" s="9"/>
      <c r="B10" s="2"/>
      <c r="C10" s="2"/>
    </row>
    <row r="11">
      <c r="A11" s="9"/>
      <c r="B11" s="2"/>
      <c r="C11" s="2"/>
    </row>
    <row r="12">
      <c r="A12" s="9"/>
      <c r="B12" s="2"/>
      <c r="C12" s="2"/>
    </row>
    <row r="13">
      <c r="A13" s="9"/>
      <c r="B13" s="2"/>
      <c r="C13" s="2"/>
    </row>
    <row r="14">
      <c r="A14" s="9"/>
      <c r="B14" s="2"/>
      <c r="C14" s="2"/>
    </row>
    <row r="15">
      <c r="A15" s="9"/>
      <c r="B15" s="2"/>
      <c r="C15" s="2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  <tableParts count="1">
    <tablePart r:id="rId3"/>
  </tableParts>
</worksheet>
</file>